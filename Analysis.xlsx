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troop\data\SOLO PROJECT\"/>
    </mc:Choice>
  </mc:AlternateContent>
  <xr:revisionPtr revIDLastSave="0" documentId="13_ncr:1_{26EBD783-A91E-4484-83D4-9093F323B578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Participant 1" sheetId="1" r:id="rId1"/>
    <sheet name="Participant 2" sheetId="2" r:id="rId2"/>
    <sheet name="Particpant 3" sheetId="3" r:id="rId3"/>
    <sheet name="Participant 4" sheetId="4" r:id="rId4"/>
    <sheet name="Participant 5" sheetId="5" r:id="rId5"/>
    <sheet name="Participant 6" sheetId="6" r:id="rId6"/>
    <sheet name="T-Test" sheetId="8" r:id="rId7"/>
    <sheet name="Analysis" sheetId="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8" l="1"/>
  <c r="C13" i="8"/>
  <c r="I11" i="2"/>
  <c r="I11" i="6"/>
  <c r="I10" i="6"/>
  <c r="I8" i="6"/>
  <c r="I7" i="6"/>
  <c r="I11" i="5"/>
  <c r="I10" i="5"/>
  <c r="I8" i="5"/>
  <c r="I7" i="5"/>
  <c r="I11" i="4"/>
  <c r="I10" i="4"/>
  <c r="I8" i="4"/>
  <c r="I7" i="4"/>
  <c r="I11" i="3"/>
  <c r="I10" i="3"/>
  <c r="I8" i="3"/>
  <c r="I7" i="3"/>
  <c r="I11" i="1"/>
  <c r="I10" i="2"/>
  <c r="I8" i="2"/>
  <c r="I7" i="2"/>
  <c r="I10" i="1"/>
  <c r="I8" i="1"/>
  <c r="I7" i="1"/>
  <c r="I4" i="5"/>
  <c r="I4" i="6"/>
  <c r="I3" i="6"/>
  <c r="I3" i="4"/>
  <c r="I3" i="3"/>
  <c r="I3" i="5"/>
  <c r="I4" i="4"/>
  <c r="I4" i="3"/>
  <c r="I3" i="1"/>
  <c r="I4" i="2"/>
  <c r="I4" i="1"/>
</calcChain>
</file>

<file path=xl/sharedStrings.xml><?xml version="1.0" encoding="utf-8"?>
<sst xmlns="http://schemas.openxmlformats.org/spreadsheetml/2006/main" count="419" uniqueCount="35">
  <si>
    <t>stim_word</t>
  </si>
  <si>
    <t>old_new</t>
  </si>
  <si>
    <t>yn_keys</t>
  </si>
  <si>
    <t>key_resp_3.keys</t>
  </si>
  <si>
    <t>key_resp_3.corr</t>
  </si>
  <si>
    <t>key_resp_3.rt</t>
  </si>
  <si>
    <t>sun</t>
  </si>
  <si>
    <t>mercury</t>
  </si>
  <si>
    <t>orange</t>
  </si>
  <si>
    <t>bike</t>
  </si>
  <si>
    <t>apple</t>
  </si>
  <si>
    <t>earth</t>
  </si>
  <si>
    <t xml:space="preserve">car </t>
  </si>
  <si>
    <t>phone</t>
  </si>
  <si>
    <t>laptop</t>
  </si>
  <si>
    <t>moon</t>
  </si>
  <si>
    <t>old</t>
  </si>
  <si>
    <t>y</t>
  </si>
  <si>
    <t>cycle</t>
  </si>
  <si>
    <t>new</t>
  </si>
  <si>
    <t>n</t>
  </si>
  <si>
    <t>tab</t>
  </si>
  <si>
    <t>venus</t>
  </si>
  <si>
    <t>star</t>
  </si>
  <si>
    <t>Reaction Time</t>
  </si>
  <si>
    <t>Accuracy (%)</t>
  </si>
  <si>
    <t>Participant</t>
  </si>
  <si>
    <t>Accuracy New</t>
  </si>
  <si>
    <t>Accuracy Old</t>
  </si>
  <si>
    <t>Reaction Time (s)</t>
  </si>
  <si>
    <t xml:space="preserve">RT New </t>
  </si>
  <si>
    <t>RT Old</t>
  </si>
  <si>
    <t>RT New</t>
  </si>
  <si>
    <t>T-Test for Accuracy</t>
  </si>
  <si>
    <t>T-Test for 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</si>
</sst>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 v/s</a:t>
            </a:r>
            <a:r>
              <a:rPr lang="en-US" baseline="0"/>
              <a:t> </a:t>
            </a:r>
            <a:r>
              <a:rPr lang="en-US"/>
              <a:t>Accuracy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Accuracy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Analysis!$A$2:$A$8</c:f>
              <c:numCache>
                <c:formatCode>General</c:formatCode>
                <c:ptCount val="7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cat>
          <c:val>
            <c:numRef>
              <c:f>Analysis!$B$2:$B$8</c:f>
              <c:numCache>
                <c:formatCode>General</c:formatCode>
                <c:ptCount val="7"/>
                <c:pt idx="1">
                  <c:v>85.714285714285708</c:v>
                </c:pt>
                <c:pt idx="2">
                  <c:v>85.714285714285708</c:v>
                </c:pt>
                <c:pt idx="3">
                  <c:v>92.857142857142861</c:v>
                </c:pt>
                <c:pt idx="4">
                  <c:v>92.857142857142861</c:v>
                </c:pt>
                <c:pt idx="5">
                  <c:v>100</c:v>
                </c:pt>
                <c:pt idx="6">
                  <c:v>78.571428571428569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0A-4CC7-ABDE-372C52AE6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1500320"/>
        <c:axId val="1331488800"/>
      </c:barChart>
      <c:catAx>
        <c:axId val="1331500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Participants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488800"/>
        <c:crosses val="autoZero"/>
        <c:auto val="1"/>
        <c:lblAlgn val="ctr"/>
        <c:lblOffset val="100"/>
        <c:noMultiLvlLbl val="0"/>
      </c:catAx>
      <c:valAx>
        <c:axId val="133148880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50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Participants v/s Reaction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Analysis!$B$12</c:f>
              <c:strCache>
                <c:ptCount val="1"/>
                <c:pt idx="0">
                  <c:v>Reaction Time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Analysis!$A$13:$A$19</c:f>
              <c:numCache>
                <c:formatCode>General</c:formatCode>
                <c:ptCount val="7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cat>
          <c:val>
            <c:numRef>
              <c:f>Analysis!$B$13:$B$19</c:f>
              <c:numCache>
                <c:formatCode>General</c:formatCode>
                <c:ptCount val="7"/>
                <c:pt idx="1">
                  <c:v>1.0715541647738687</c:v>
                </c:pt>
                <c:pt idx="2">
                  <c:v>1.508020205852765</c:v>
                </c:pt>
                <c:pt idx="3">
                  <c:v>1.2701690924024187</c:v>
                </c:pt>
                <c:pt idx="4">
                  <c:v>1.150909824580552</c:v>
                </c:pt>
                <c:pt idx="5">
                  <c:v>0.99547953781458087</c:v>
                </c:pt>
                <c:pt idx="6">
                  <c:v>1.1914670425576943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7B-45A1-8844-09B8FEF7C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8258416"/>
        <c:axId val="1098258896"/>
      </c:barChart>
      <c:catAx>
        <c:axId val="1098258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Participants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258896"/>
        <c:crosses val="autoZero"/>
        <c:auto val="1"/>
        <c:lblAlgn val="ctr"/>
        <c:lblOffset val="100"/>
        <c:noMultiLvlLbl val="0"/>
      </c:catAx>
      <c:valAx>
        <c:axId val="109825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Reactio</a:t>
                </a:r>
                <a:r>
                  <a:rPr lang="en-IN" baseline="0"/>
                  <a:t>n Time (s)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25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0</xdr:row>
      <xdr:rowOff>163830</xdr:rowOff>
    </xdr:from>
    <xdr:to>
      <xdr:col>10</xdr:col>
      <xdr:colOff>91440</xdr:colOff>
      <xdr:row>15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198AF9-363D-A6CD-8CA5-5127EE160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</xdr:colOff>
      <xdr:row>0</xdr:row>
      <xdr:rowOff>171450</xdr:rowOff>
    </xdr:from>
    <xdr:to>
      <xdr:col>18</xdr:col>
      <xdr:colOff>312420</xdr:colOff>
      <xdr:row>15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783B7B-2DB5-9ABA-0EE6-93A8D7D8C4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workbookViewId="0">
      <selection activeCell="I11" sqref="I11"/>
    </sheetView>
  </sheetViews>
  <sheetFormatPr defaultRowHeight="14.4" x14ac:dyDescent="0.3"/>
  <cols>
    <col min="1" max="1" width="13.109375" customWidth="1"/>
    <col min="4" max="4" width="16" customWidth="1"/>
    <col min="5" max="5" width="16.5546875" customWidth="1"/>
    <col min="6" max="6" width="14.77734375" customWidth="1"/>
    <col min="8" max="8" width="18" customWidth="1"/>
    <col min="9" max="9" width="16.6640625" customWidth="1"/>
    <col min="10" max="10" width="17.1093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9" x14ac:dyDescent="0.3">
      <c r="A3" t="s">
        <v>18</v>
      </c>
      <c r="B3" t="s">
        <v>19</v>
      </c>
      <c r="C3" t="s">
        <v>20</v>
      </c>
      <c r="D3" t="s">
        <v>20</v>
      </c>
      <c r="E3">
        <v>1</v>
      </c>
      <c r="F3">
        <v>0.62897809990681697</v>
      </c>
      <c r="H3" t="s">
        <v>25</v>
      </c>
      <c r="I3">
        <f>AVERAGE(E3:E16)*100</f>
        <v>85.714285714285708</v>
      </c>
    </row>
    <row r="4" spans="1:9" x14ac:dyDescent="0.3">
      <c r="A4" t="s">
        <v>21</v>
      </c>
      <c r="B4" t="s">
        <v>19</v>
      </c>
      <c r="C4" t="s">
        <v>20</v>
      </c>
      <c r="D4" t="s">
        <v>20</v>
      </c>
      <c r="E4">
        <v>1</v>
      </c>
      <c r="F4">
        <v>0.69517980003729396</v>
      </c>
      <c r="H4" t="s">
        <v>24</v>
      </c>
      <c r="I4">
        <f>GEOMEAN(F3:F16)</f>
        <v>1.0715541647738689</v>
      </c>
    </row>
    <row r="5" spans="1:9" x14ac:dyDescent="0.3">
      <c r="A5" t="s">
        <v>22</v>
      </c>
      <c r="B5" t="s">
        <v>19</v>
      </c>
      <c r="C5" t="s">
        <v>20</v>
      </c>
      <c r="D5" t="s">
        <v>20</v>
      </c>
      <c r="E5">
        <v>1</v>
      </c>
      <c r="F5">
        <v>0.833991599967703</v>
      </c>
    </row>
    <row r="6" spans="1:9" x14ac:dyDescent="0.3">
      <c r="A6" t="s">
        <v>23</v>
      </c>
      <c r="B6" t="s">
        <v>19</v>
      </c>
      <c r="C6" t="s">
        <v>20</v>
      </c>
      <c r="D6" t="s">
        <v>20</v>
      </c>
      <c r="E6">
        <v>1</v>
      </c>
      <c r="F6">
        <v>1.0330811999738201</v>
      </c>
    </row>
    <row r="7" spans="1:9" x14ac:dyDescent="0.3">
      <c r="A7" t="s">
        <v>7</v>
      </c>
      <c r="B7" t="s">
        <v>16</v>
      </c>
      <c r="C7" t="s">
        <v>17</v>
      </c>
      <c r="D7" t="s">
        <v>17</v>
      </c>
      <c r="E7">
        <v>1</v>
      </c>
      <c r="F7">
        <v>1.9298316000495099</v>
      </c>
      <c r="H7" t="s">
        <v>27</v>
      </c>
      <c r="I7">
        <f>AVERAGE(E3:E6)*100</f>
        <v>100</v>
      </c>
    </row>
    <row r="8" spans="1:9" x14ac:dyDescent="0.3">
      <c r="A8" t="s">
        <v>14</v>
      </c>
      <c r="B8" t="s">
        <v>16</v>
      </c>
      <c r="C8" t="s">
        <v>17</v>
      </c>
      <c r="D8" t="s">
        <v>17</v>
      </c>
      <c r="E8">
        <v>1</v>
      </c>
      <c r="F8">
        <v>2.1166083998978098</v>
      </c>
      <c r="H8" t="s">
        <v>28</v>
      </c>
      <c r="I8">
        <f>AVERAGE(E7:E16)*100</f>
        <v>80</v>
      </c>
    </row>
    <row r="9" spans="1:9" x14ac:dyDescent="0.3">
      <c r="A9" t="s">
        <v>13</v>
      </c>
      <c r="B9" t="s">
        <v>16</v>
      </c>
      <c r="C9" t="s">
        <v>17</v>
      </c>
      <c r="D9" t="s">
        <v>17</v>
      </c>
      <c r="E9">
        <v>1</v>
      </c>
      <c r="F9">
        <v>1.1034911999013199</v>
      </c>
    </row>
    <row r="10" spans="1:9" x14ac:dyDescent="0.3">
      <c r="A10" t="s">
        <v>6</v>
      </c>
      <c r="B10" t="s">
        <v>16</v>
      </c>
      <c r="C10" t="s">
        <v>17</v>
      </c>
      <c r="D10" t="s">
        <v>17</v>
      </c>
      <c r="E10">
        <v>1</v>
      </c>
      <c r="F10">
        <v>0.72266900003887702</v>
      </c>
      <c r="H10" t="s">
        <v>30</v>
      </c>
      <c r="I10">
        <f>SUM(F3:F6)/4</f>
        <v>0.79780767497140848</v>
      </c>
    </row>
    <row r="11" spans="1:9" x14ac:dyDescent="0.3">
      <c r="A11" t="s">
        <v>8</v>
      </c>
      <c r="B11" t="s">
        <v>16</v>
      </c>
      <c r="C11" t="s">
        <v>17</v>
      </c>
      <c r="D11" t="s">
        <v>17</v>
      </c>
      <c r="E11">
        <v>1</v>
      </c>
      <c r="F11">
        <v>1.09296469995751</v>
      </c>
      <c r="H11" t="s">
        <v>31</v>
      </c>
      <c r="I11">
        <f>SUM(F7:F16)/10</f>
        <v>1.2884363599587185</v>
      </c>
    </row>
    <row r="12" spans="1:9" x14ac:dyDescent="0.3">
      <c r="A12" t="s">
        <v>15</v>
      </c>
      <c r="B12" t="s">
        <v>16</v>
      </c>
      <c r="C12" t="s">
        <v>17</v>
      </c>
      <c r="D12" t="s">
        <v>17</v>
      </c>
      <c r="E12">
        <v>1</v>
      </c>
      <c r="F12">
        <v>1.68707729992456</v>
      </c>
    </row>
    <row r="13" spans="1:9" x14ac:dyDescent="0.3">
      <c r="A13" t="s">
        <v>10</v>
      </c>
      <c r="B13" t="s">
        <v>16</v>
      </c>
      <c r="C13" t="s">
        <v>17</v>
      </c>
      <c r="D13" t="s">
        <v>20</v>
      </c>
      <c r="E13">
        <v>0</v>
      </c>
      <c r="F13">
        <v>0.91095189983025104</v>
      </c>
    </row>
    <row r="14" spans="1:9" x14ac:dyDescent="0.3">
      <c r="A14" t="s">
        <v>9</v>
      </c>
      <c r="B14" t="s">
        <v>16</v>
      </c>
      <c r="C14" t="s">
        <v>17</v>
      </c>
      <c r="D14" t="s">
        <v>20</v>
      </c>
      <c r="E14">
        <v>0</v>
      </c>
      <c r="F14">
        <v>1.00759919988922</v>
      </c>
    </row>
    <row r="15" spans="1:9" x14ac:dyDescent="0.3">
      <c r="A15" t="s">
        <v>11</v>
      </c>
      <c r="B15" t="s">
        <v>16</v>
      </c>
      <c r="C15" t="s">
        <v>17</v>
      </c>
      <c r="D15" t="s">
        <v>17</v>
      </c>
      <c r="E15">
        <v>1</v>
      </c>
      <c r="F15">
        <v>0.89070950006134797</v>
      </c>
    </row>
    <row r="16" spans="1:9" x14ac:dyDescent="0.3">
      <c r="A16" t="s">
        <v>12</v>
      </c>
      <c r="B16" t="s">
        <v>16</v>
      </c>
      <c r="C16" t="s">
        <v>17</v>
      </c>
      <c r="D16" t="s">
        <v>17</v>
      </c>
      <c r="E16">
        <v>1</v>
      </c>
      <c r="F16">
        <v>1.42246080003678</v>
      </c>
    </row>
  </sheetData>
  <sortState xmlns:xlrd2="http://schemas.microsoft.com/office/spreadsheetml/2017/richdata2" ref="A3:F16">
    <sortCondition ref="B3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A2D03-38C9-4AFA-8FE2-FFAB560DAFD5}">
  <dimension ref="A1:I16"/>
  <sheetViews>
    <sheetView workbookViewId="0">
      <selection activeCell="I11" sqref="I11"/>
    </sheetView>
  </sheetViews>
  <sheetFormatPr defaultRowHeight="14.4" x14ac:dyDescent="0.3"/>
  <cols>
    <col min="1" max="1" width="11.109375" customWidth="1"/>
    <col min="4" max="4" width="14.44140625" bestFit="1" customWidth="1"/>
    <col min="5" max="5" width="19.21875" customWidth="1"/>
    <col min="6" max="6" width="17.21875" customWidth="1"/>
    <col min="8" max="8" width="13.109375" customWidth="1"/>
    <col min="9" max="9" width="15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9" x14ac:dyDescent="0.3">
      <c r="A3" t="s">
        <v>22</v>
      </c>
      <c r="B3" t="s">
        <v>19</v>
      </c>
      <c r="C3" t="s">
        <v>20</v>
      </c>
      <c r="D3" t="s">
        <v>20</v>
      </c>
      <c r="E3">
        <v>1</v>
      </c>
      <c r="F3">
        <v>2.4673637000378199</v>
      </c>
      <c r="H3" t="s">
        <v>25</v>
      </c>
      <c r="I3">
        <v>85.714285714285708</v>
      </c>
    </row>
    <row r="4" spans="1:9" x14ac:dyDescent="0.3">
      <c r="A4" t="s">
        <v>18</v>
      </c>
      <c r="B4" t="s">
        <v>19</v>
      </c>
      <c r="C4" t="s">
        <v>20</v>
      </c>
      <c r="D4" t="s">
        <v>20</v>
      </c>
      <c r="E4">
        <v>1</v>
      </c>
      <c r="F4">
        <v>1.8189328999724199</v>
      </c>
      <c r="H4" t="s">
        <v>24</v>
      </c>
      <c r="I4">
        <f>GEOMEAN(F3:F16)</f>
        <v>1.508020205852765</v>
      </c>
    </row>
    <row r="5" spans="1:9" x14ac:dyDescent="0.3">
      <c r="A5" t="s">
        <v>23</v>
      </c>
      <c r="B5" t="s">
        <v>19</v>
      </c>
      <c r="C5" t="s">
        <v>20</v>
      </c>
      <c r="D5" t="s">
        <v>20</v>
      </c>
      <c r="E5">
        <v>1</v>
      </c>
      <c r="F5">
        <v>1.3504061000421601</v>
      </c>
    </row>
    <row r="6" spans="1:9" x14ac:dyDescent="0.3">
      <c r="A6" t="s">
        <v>21</v>
      </c>
      <c r="B6" t="s">
        <v>19</v>
      </c>
      <c r="C6" t="s">
        <v>20</v>
      </c>
      <c r="D6" t="s">
        <v>17</v>
      </c>
      <c r="E6">
        <v>0</v>
      </c>
      <c r="F6">
        <v>4.2314567998982904</v>
      </c>
    </row>
    <row r="7" spans="1:9" x14ac:dyDescent="0.3">
      <c r="A7" t="s">
        <v>7</v>
      </c>
      <c r="B7" t="s">
        <v>16</v>
      </c>
      <c r="C7" t="s">
        <v>17</v>
      </c>
      <c r="D7" t="s">
        <v>17</v>
      </c>
      <c r="E7">
        <v>1</v>
      </c>
      <c r="F7">
        <v>2.8164107999764298</v>
      </c>
      <c r="H7" t="s">
        <v>27</v>
      </c>
      <c r="I7">
        <f>AVERAGE(E3:E6)*100</f>
        <v>75</v>
      </c>
    </row>
    <row r="8" spans="1:9" x14ac:dyDescent="0.3">
      <c r="A8" t="s">
        <v>14</v>
      </c>
      <c r="B8" t="s">
        <v>16</v>
      </c>
      <c r="C8" t="s">
        <v>17</v>
      </c>
      <c r="D8" t="s">
        <v>20</v>
      </c>
      <c r="E8">
        <v>0</v>
      </c>
      <c r="F8">
        <v>2.2752077998593401</v>
      </c>
      <c r="H8" t="s">
        <v>28</v>
      </c>
      <c r="I8">
        <f>AVERAGE(E7:E16)*100</f>
        <v>80</v>
      </c>
    </row>
    <row r="9" spans="1:9" x14ac:dyDescent="0.3">
      <c r="A9" t="s">
        <v>8</v>
      </c>
      <c r="B9" t="s">
        <v>16</v>
      </c>
      <c r="C9" t="s">
        <v>17</v>
      </c>
      <c r="D9" t="s">
        <v>17</v>
      </c>
      <c r="E9">
        <v>1</v>
      </c>
      <c r="F9">
        <v>1.70043720002286</v>
      </c>
    </row>
    <row r="10" spans="1:9" x14ac:dyDescent="0.3">
      <c r="A10" t="s">
        <v>12</v>
      </c>
      <c r="B10" t="s">
        <v>16</v>
      </c>
      <c r="C10" t="s">
        <v>17</v>
      </c>
      <c r="D10" t="s">
        <v>17</v>
      </c>
      <c r="E10">
        <v>1</v>
      </c>
      <c r="F10">
        <v>1.1955979999620401</v>
      </c>
      <c r="H10" t="s">
        <v>30</v>
      </c>
      <c r="I10">
        <f>SUM(F3:F6)/4</f>
        <v>2.4670398749876723</v>
      </c>
    </row>
    <row r="11" spans="1:9" x14ac:dyDescent="0.3">
      <c r="A11" t="s">
        <v>10</v>
      </c>
      <c r="B11" t="s">
        <v>16</v>
      </c>
      <c r="C11" t="s">
        <v>17</v>
      </c>
      <c r="D11" t="s">
        <v>17</v>
      </c>
      <c r="E11">
        <v>1</v>
      </c>
      <c r="F11">
        <v>0.76376389991492</v>
      </c>
      <c r="H11" t="s">
        <v>31</v>
      </c>
      <c r="I11">
        <f>SUM(F7:F16)/10</f>
        <v>1.4295049099717261</v>
      </c>
    </row>
    <row r="12" spans="1:9" x14ac:dyDescent="0.3">
      <c r="A12" t="s">
        <v>9</v>
      </c>
      <c r="B12" t="s">
        <v>16</v>
      </c>
      <c r="C12" t="s">
        <v>17</v>
      </c>
      <c r="D12" t="s">
        <v>20</v>
      </c>
      <c r="E12">
        <v>0</v>
      </c>
      <c r="F12">
        <v>1.95269730011932</v>
      </c>
    </row>
    <row r="13" spans="1:9" x14ac:dyDescent="0.3">
      <c r="A13" t="s">
        <v>11</v>
      </c>
      <c r="B13" t="s">
        <v>16</v>
      </c>
      <c r="C13" t="s">
        <v>17</v>
      </c>
      <c r="D13" t="s">
        <v>17</v>
      </c>
      <c r="E13">
        <v>1</v>
      </c>
      <c r="F13">
        <v>0.99393280013464302</v>
      </c>
    </row>
    <row r="14" spans="1:9" x14ac:dyDescent="0.3">
      <c r="A14" t="s">
        <v>15</v>
      </c>
      <c r="B14" t="s">
        <v>16</v>
      </c>
      <c r="C14" t="s">
        <v>17</v>
      </c>
      <c r="D14" t="s">
        <v>17</v>
      </c>
      <c r="E14">
        <v>1</v>
      </c>
      <c r="F14">
        <v>0.98150109988637202</v>
      </c>
    </row>
    <row r="15" spans="1:9" x14ac:dyDescent="0.3">
      <c r="A15" t="s">
        <v>13</v>
      </c>
      <c r="B15" t="s">
        <v>16</v>
      </c>
      <c r="C15" t="s">
        <v>17</v>
      </c>
      <c r="D15" t="s">
        <v>17</v>
      </c>
      <c r="E15">
        <v>1</v>
      </c>
      <c r="F15">
        <v>0.73474019998684503</v>
      </c>
    </row>
    <row r="16" spans="1:9" x14ac:dyDescent="0.3">
      <c r="A16" t="s">
        <v>6</v>
      </c>
      <c r="B16" t="s">
        <v>16</v>
      </c>
      <c r="C16" t="s">
        <v>17</v>
      </c>
      <c r="D16" t="s">
        <v>17</v>
      </c>
      <c r="E16">
        <v>1</v>
      </c>
      <c r="F16">
        <v>0.88075999985449005</v>
      </c>
    </row>
  </sheetData>
  <sortState xmlns:xlrd2="http://schemas.microsoft.com/office/spreadsheetml/2017/richdata2" ref="A3:F16">
    <sortCondition ref="B3:B1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CD218-DDEF-409C-8F23-1D867884B6B7}">
  <dimension ref="A1:I16"/>
  <sheetViews>
    <sheetView workbookViewId="0">
      <selection activeCell="I11" sqref="I11"/>
    </sheetView>
  </sheetViews>
  <sheetFormatPr defaultRowHeight="14.4" x14ac:dyDescent="0.3"/>
  <cols>
    <col min="1" max="1" width="13.6640625" customWidth="1"/>
    <col min="2" max="4" width="15" customWidth="1"/>
    <col min="5" max="5" width="14.21875" bestFit="1" customWidth="1"/>
    <col min="6" max="6" width="18.33203125" customWidth="1"/>
    <col min="8" max="8" width="15.109375" customWidth="1"/>
    <col min="9" max="9" width="15.441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9" x14ac:dyDescent="0.3">
      <c r="A3" t="s">
        <v>18</v>
      </c>
      <c r="B3" t="s">
        <v>19</v>
      </c>
      <c r="C3" t="s">
        <v>20</v>
      </c>
      <c r="D3" t="s">
        <v>20</v>
      </c>
      <c r="E3">
        <v>1</v>
      </c>
      <c r="F3">
        <v>0.90713619999587503</v>
      </c>
      <c r="H3" t="s">
        <v>25</v>
      </c>
      <c r="I3">
        <f>AVERAGE(E3:E16)*100</f>
        <v>92.857142857142861</v>
      </c>
    </row>
    <row r="4" spans="1:9" x14ac:dyDescent="0.3">
      <c r="A4" t="s">
        <v>22</v>
      </c>
      <c r="B4" t="s">
        <v>19</v>
      </c>
      <c r="C4" t="s">
        <v>20</v>
      </c>
      <c r="D4" t="s">
        <v>20</v>
      </c>
      <c r="E4">
        <v>1</v>
      </c>
      <c r="F4">
        <v>0.82928920001722795</v>
      </c>
      <c r="H4" t="s">
        <v>24</v>
      </c>
      <c r="I4">
        <f>GEOMEAN(F3:F16)</f>
        <v>1.2701690924024187</v>
      </c>
    </row>
    <row r="5" spans="1:9" x14ac:dyDescent="0.3">
      <c r="A5" t="s">
        <v>21</v>
      </c>
      <c r="B5" t="s">
        <v>19</v>
      </c>
      <c r="C5" t="s">
        <v>20</v>
      </c>
      <c r="D5" t="s">
        <v>20</v>
      </c>
      <c r="E5">
        <v>1</v>
      </c>
      <c r="F5">
        <v>1.1284568998962601</v>
      </c>
    </row>
    <row r="6" spans="1:9" x14ac:dyDescent="0.3">
      <c r="A6" t="s">
        <v>23</v>
      </c>
      <c r="B6" t="s">
        <v>19</v>
      </c>
      <c r="C6" t="s">
        <v>20</v>
      </c>
      <c r="D6" t="s">
        <v>20</v>
      </c>
      <c r="E6">
        <v>1</v>
      </c>
      <c r="F6">
        <v>1.08944369992241</v>
      </c>
    </row>
    <row r="7" spans="1:9" x14ac:dyDescent="0.3">
      <c r="A7" t="s">
        <v>10</v>
      </c>
      <c r="B7" t="s">
        <v>16</v>
      </c>
      <c r="C7" t="s">
        <v>17</v>
      </c>
      <c r="D7" t="s">
        <v>17</v>
      </c>
      <c r="E7">
        <v>1</v>
      </c>
      <c r="F7">
        <v>1.99094659998081</v>
      </c>
      <c r="H7" t="s">
        <v>27</v>
      </c>
      <c r="I7">
        <f>AVERAGE(E3:E7)*100</f>
        <v>100</v>
      </c>
    </row>
    <row r="8" spans="1:9" x14ac:dyDescent="0.3">
      <c r="A8" t="s">
        <v>9</v>
      </c>
      <c r="B8" t="s">
        <v>16</v>
      </c>
      <c r="C8" t="s">
        <v>17</v>
      </c>
      <c r="D8" t="s">
        <v>20</v>
      </c>
      <c r="E8">
        <v>0</v>
      </c>
      <c r="F8">
        <v>2.0261804000474499</v>
      </c>
      <c r="H8" t="s">
        <v>28</v>
      </c>
      <c r="I8">
        <f>AVERAGE(E7:E16)*100</f>
        <v>90</v>
      </c>
    </row>
    <row r="9" spans="1:9" x14ac:dyDescent="0.3">
      <c r="A9" t="s">
        <v>13</v>
      </c>
      <c r="B9" t="s">
        <v>16</v>
      </c>
      <c r="C9" t="s">
        <v>17</v>
      </c>
      <c r="D9" t="s">
        <v>17</v>
      </c>
      <c r="E9">
        <v>1</v>
      </c>
      <c r="F9">
        <v>1.0995582002215001</v>
      </c>
    </row>
    <row r="10" spans="1:9" x14ac:dyDescent="0.3">
      <c r="A10" t="s">
        <v>14</v>
      </c>
      <c r="B10" t="s">
        <v>16</v>
      </c>
      <c r="C10" t="s">
        <v>17</v>
      </c>
      <c r="D10" t="s">
        <v>17</v>
      </c>
      <c r="E10">
        <v>1</v>
      </c>
      <c r="F10">
        <v>0.83845459995791305</v>
      </c>
      <c r="H10" t="s">
        <v>30</v>
      </c>
      <c r="I10">
        <f>SUM(F3:F6)/4</f>
        <v>0.9885814999579432</v>
      </c>
    </row>
    <row r="11" spans="1:9" x14ac:dyDescent="0.3">
      <c r="A11" t="s">
        <v>12</v>
      </c>
      <c r="B11" t="s">
        <v>16</v>
      </c>
      <c r="C11" t="s">
        <v>17</v>
      </c>
      <c r="D11" t="s">
        <v>17</v>
      </c>
      <c r="E11">
        <v>1</v>
      </c>
      <c r="F11">
        <v>2.1015735999680998</v>
      </c>
      <c r="H11" t="s">
        <v>31</v>
      </c>
      <c r="I11">
        <f>SUM(F7:F16)/10</f>
        <v>1.5572959399782078</v>
      </c>
    </row>
    <row r="12" spans="1:9" x14ac:dyDescent="0.3">
      <c r="A12" t="s">
        <v>7</v>
      </c>
      <c r="B12" t="s">
        <v>16</v>
      </c>
      <c r="C12" t="s">
        <v>17</v>
      </c>
      <c r="D12" t="s">
        <v>17</v>
      </c>
      <c r="E12">
        <v>1</v>
      </c>
      <c r="F12">
        <v>1.1887314999476</v>
      </c>
    </row>
    <row r="13" spans="1:9" x14ac:dyDescent="0.3">
      <c r="A13" t="s">
        <v>8</v>
      </c>
      <c r="B13" t="s">
        <v>16</v>
      </c>
      <c r="C13" t="s">
        <v>17</v>
      </c>
      <c r="D13" t="s">
        <v>17</v>
      </c>
      <c r="E13">
        <v>1</v>
      </c>
      <c r="F13">
        <v>1.01220049988478</v>
      </c>
    </row>
    <row r="14" spans="1:9" x14ac:dyDescent="0.3">
      <c r="A14" t="s">
        <v>6</v>
      </c>
      <c r="B14" t="s">
        <v>16</v>
      </c>
      <c r="C14" t="s">
        <v>17</v>
      </c>
      <c r="D14" t="s">
        <v>17</v>
      </c>
      <c r="E14">
        <v>1</v>
      </c>
      <c r="F14">
        <v>1.05535389995202</v>
      </c>
    </row>
    <row r="15" spans="1:9" x14ac:dyDescent="0.3">
      <c r="A15" t="s">
        <v>11</v>
      </c>
      <c r="B15" t="s">
        <v>16</v>
      </c>
      <c r="C15" t="s">
        <v>17</v>
      </c>
      <c r="D15" t="s">
        <v>17</v>
      </c>
      <c r="E15">
        <v>1</v>
      </c>
      <c r="F15">
        <v>0.93101929989643395</v>
      </c>
    </row>
    <row r="16" spans="1:9" x14ac:dyDescent="0.3">
      <c r="A16" t="s">
        <v>15</v>
      </c>
      <c r="B16" t="s">
        <v>16</v>
      </c>
      <c r="C16" t="s">
        <v>17</v>
      </c>
      <c r="D16" t="s">
        <v>17</v>
      </c>
      <c r="E16">
        <v>1</v>
      </c>
      <c r="F16">
        <v>3.3289407999254701</v>
      </c>
    </row>
  </sheetData>
  <sortState xmlns:xlrd2="http://schemas.microsoft.com/office/spreadsheetml/2017/richdata2" ref="A3:F16">
    <sortCondition ref="B3:B1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E8386-43E6-412B-AD3F-1770B2A56112}">
  <dimension ref="A1:I16"/>
  <sheetViews>
    <sheetView workbookViewId="0">
      <selection activeCell="I11" sqref="I11"/>
    </sheetView>
  </sheetViews>
  <sheetFormatPr defaultRowHeight="14.4" x14ac:dyDescent="0.3"/>
  <cols>
    <col min="1" max="1" width="15.6640625" customWidth="1"/>
    <col min="2" max="4" width="14.88671875" customWidth="1"/>
    <col min="5" max="5" width="14.21875" bestFit="1" customWidth="1"/>
    <col min="6" max="6" width="20.77734375" customWidth="1"/>
    <col min="8" max="8" width="12.88671875" customWidth="1"/>
    <col min="9" max="9" width="14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9" x14ac:dyDescent="0.3">
      <c r="A3" t="s">
        <v>18</v>
      </c>
      <c r="B3" t="s">
        <v>19</v>
      </c>
      <c r="C3" t="s">
        <v>20</v>
      </c>
      <c r="D3" t="s">
        <v>20</v>
      </c>
      <c r="E3">
        <v>1</v>
      </c>
      <c r="F3">
        <v>0.79339249990880401</v>
      </c>
      <c r="H3" t="s">
        <v>25</v>
      </c>
      <c r="I3">
        <f>AVERAGE(E3:E16)*100</f>
        <v>92.857142857142861</v>
      </c>
    </row>
    <row r="4" spans="1:9" x14ac:dyDescent="0.3">
      <c r="A4" t="s">
        <v>23</v>
      </c>
      <c r="B4" t="s">
        <v>19</v>
      </c>
      <c r="C4" t="s">
        <v>20</v>
      </c>
      <c r="D4" t="s">
        <v>20</v>
      </c>
      <c r="E4">
        <v>1</v>
      </c>
      <c r="F4">
        <v>0.91857570013962597</v>
      </c>
      <c r="H4" t="s">
        <v>24</v>
      </c>
      <c r="I4">
        <f>GEOMEAN(F3:F16)</f>
        <v>1.150909824580552</v>
      </c>
    </row>
    <row r="5" spans="1:9" x14ac:dyDescent="0.3">
      <c r="A5" t="s">
        <v>21</v>
      </c>
      <c r="B5" t="s">
        <v>19</v>
      </c>
      <c r="C5" t="s">
        <v>20</v>
      </c>
      <c r="D5" t="s">
        <v>20</v>
      </c>
      <c r="E5">
        <v>1</v>
      </c>
      <c r="F5">
        <v>0.95732909999787796</v>
      </c>
    </row>
    <row r="6" spans="1:9" x14ac:dyDescent="0.3">
      <c r="A6" t="s">
        <v>22</v>
      </c>
      <c r="B6" t="s">
        <v>19</v>
      </c>
      <c r="C6" t="s">
        <v>20</v>
      </c>
      <c r="D6" t="s">
        <v>20</v>
      </c>
      <c r="E6">
        <v>1</v>
      </c>
      <c r="F6">
        <v>1.6864366000518201</v>
      </c>
    </row>
    <row r="7" spans="1:9" x14ac:dyDescent="0.3">
      <c r="A7" t="s">
        <v>15</v>
      </c>
      <c r="B7" t="s">
        <v>16</v>
      </c>
      <c r="C7" t="s">
        <v>17</v>
      </c>
      <c r="D7" t="s">
        <v>20</v>
      </c>
      <c r="E7">
        <v>0</v>
      </c>
      <c r="F7">
        <v>2.3251662000548001</v>
      </c>
      <c r="H7" t="s">
        <v>27</v>
      </c>
      <c r="I7">
        <f>AVERAGE(E3:E6)*100</f>
        <v>100</v>
      </c>
    </row>
    <row r="8" spans="1:9" x14ac:dyDescent="0.3">
      <c r="A8" t="s">
        <v>13</v>
      </c>
      <c r="B8" t="s">
        <v>16</v>
      </c>
      <c r="C8" t="s">
        <v>17</v>
      </c>
      <c r="D8" t="s">
        <v>17</v>
      </c>
      <c r="E8">
        <v>1</v>
      </c>
      <c r="F8">
        <v>1.15212309989146</v>
      </c>
      <c r="H8" t="s">
        <v>28</v>
      </c>
      <c r="I8">
        <f>AVERAGE(E7:E16)*100</f>
        <v>90</v>
      </c>
    </row>
    <row r="9" spans="1:9" x14ac:dyDescent="0.3">
      <c r="A9" t="s">
        <v>6</v>
      </c>
      <c r="B9" t="s">
        <v>16</v>
      </c>
      <c r="C9" t="s">
        <v>17</v>
      </c>
      <c r="D9" t="s">
        <v>17</v>
      </c>
      <c r="E9">
        <v>1</v>
      </c>
      <c r="F9">
        <v>1.30920150014571</v>
      </c>
    </row>
    <row r="10" spans="1:9" x14ac:dyDescent="0.3">
      <c r="A10" t="s">
        <v>7</v>
      </c>
      <c r="B10" t="s">
        <v>16</v>
      </c>
      <c r="C10" t="s">
        <v>17</v>
      </c>
      <c r="D10" t="s">
        <v>17</v>
      </c>
      <c r="E10">
        <v>1</v>
      </c>
      <c r="F10">
        <v>3.0203673001378699</v>
      </c>
      <c r="H10" t="s">
        <v>30</v>
      </c>
      <c r="I10">
        <f>SUM(F3:F6)/4</f>
        <v>1.0889334750245321</v>
      </c>
    </row>
    <row r="11" spans="1:9" x14ac:dyDescent="0.3">
      <c r="A11" t="s">
        <v>11</v>
      </c>
      <c r="B11" t="s">
        <v>16</v>
      </c>
      <c r="C11" t="s">
        <v>17</v>
      </c>
      <c r="D11" t="s">
        <v>17</v>
      </c>
      <c r="E11">
        <v>1</v>
      </c>
      <c r="F11">
        <v>0.85560419992543701</v>
      </c>
      <c r="H11" t="s">
        <v>31</v>
      </c>
      <c r="I11">
        <f>SUM(F7:F16)/10</f>
        <v>1.373369950009506</v>
      </c>
    </row>
    <row r="12" spans="1:9" x14ac:dyDescent="0.3">
      <c r="A12" t="s">
        <v>9</v>
      </c>
      <c r="B12" t="s">
        <v>16</v>
      </c>
      <c r="C12" t="s">
        <v>17</v>
      </c>
      <c r="D12" t="s">
        <v>17</v>
      </c>
      <c r="E12">
        <v>1</v>
      </c>
      <c r="F12">
        <v>1.6447214998770501</v>
      </c>
    </row>
    <row r="13" spans="1:9" x14ac:dyDescent="0.3">
      <c r="A13" t="s">
        <v>12</v>
      </c>
      <c r="B13" t="s">
        <v>16</v>
      </c>
      <c r="C13" t="s">
        <v>17</v>
      </c>
      <c r="D13" t="s">
        <v>17</v>
      </c>
      <c r="E13">
        <v>1</v>
      </c>
      <c r="F13">
        <v>0.79484029999002803</v>
      </c>
    </row>
    <row r="14" spans="1:9" x14ac:dyDescent="0.3">
      <c r="A14" t="s">
        <v>14</v>
      </c>
      <c r="B14" t="s">
        <v>16</v>
      </c>
      <c r="C14" t="s">
        <v>17</v>
      </c>
      <c r="D14" t="s">
        <v>17</v>
      </c>
      <c r="E14">
        <v>1</v>
      </c>
      <c r="F14">
        <v>1.36889420007355</v>
      </c>
    </row>
    <row r="15" spans="1:9" x14ac:dyDescent="0.3">
      <c r="A15" t="s">
        <v>10</v>
      </c>
      <c r="B15" t="s">
        <v>16</v>
      </c>
      <c r="C15" t="s">
        <v>17</v>
      </c>
      <c r="D15" t="s">
        <v>17</v>
      </c>
      <c r="E15">
        <v>1</v>
      </c>
      <c r="F15">
        <v>0.78553039999678698</v>
      </c>
    </row>
    <row r="16" spans="1:9" x14ac:dyDescent="0.3">
      <c r="A16" t="s">
        <v>8</v>
      </c>
      <c r="B16" t="s">
        <v>16</v>
      </c>
      <c r="C16" t="s">
        <v>17</v>
      </c>
      <c r="D16" t="s">
        <v>17</v>
      </c>
      <c r="E16">
        <v>1</v>
      </c>
      <c r="F16">
        <v>0.47725080000236603</v>
      </c>
    </row>
  </sheetData>
  <sortState xmlns:xlrd2="http://schemas.microsoft.com/office/spreadsheetml/2017/richdata2" ref="A3:F16">
    <sortCondition ref="B3:B1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2CC4D-F7A5-4848-A4D1-4404B7AF339E}">
  <dimension ref="A1:I16"/>
  <sheetViews>
    <sheetView workbookViewId="0">
      <selection activeCell="I11" sqref="I11"/>
    </sheetView>
  </sheetViews>
  <sheetFormatPr defaultRowHeight="14.4" x14ac:dyDescent="0.3"/>
  <cols>
    <col min="1" max="1" width="13.44140625" customWidth="1"/>
    <col min="2" max="4" width="15.33203125" customWidth="1"/>
    <col min="5" max="5" width="14.21875" bestFit="1" customWidth="1"/>
    <col min="6" max="6" width="14.77734375" customWidth="1"/>
    <col min="8" max="8" width="14.109375" customWidth="1"/>
    <col min="9" max="9" width="1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9" x14ac:dyDescent="0.3">
      <c r="A3" t="s">
        <v>21</v>
      </c>
      <c r="B3" t="s">
        <v>19</v>
      </c>
      <c r="C3" t="s">
        <v>20</v>
      </c>
      <c r="D3" t="s">
        <v>20</v>
      </c>
      <c r="E3">
        <v>1</v>
      </c>
      <c r="F3">
        <v>1.42577890004031</v>
      </c>
      <c r="H3" t="s">
        <v>25</v>
      </c>
      <c r="I3">
        <f>AVERAGE(E3:E16)*100</f>
        <v>100</v>
      </c>
    </row>
    <row r="4" spans="1:9" x14ac:dyDescent="0.3">
      <c r="A4" t="s">
        <v>22</v>
      </c>
      <c r="B4" t="s">
        <v>19</v>
      </c>
      <c r="C4" t="s">
        <v>20</v>
      </c>
      <c r="D4" t="s">
        <v>20</v>
      </c>
      <c r="E4">
        <v>1</v>
      </c>
      <c r="F4">
        <v>0.89038400002755203</v>
      </c>
      <c r="H4" t="s">
        <v>24</v>
      </c>
      <c r="I4">
        <f>GEOMEAN(F3:F16)</f>
        <v>0.99547953781458087</v>
      </c>
    </row>
    <row r="5" spans="1:9" x14ac:dyDescent="0.3">
      <c r="A5" t="s">
        <v>23</v>
      </c>
      <c r="B5" t="s">
        <v>19</v>
      </c>
      <c r="C5" t="s">
        <v>20</v>
      </c>
      <c r="D5" t="s">
        <v>20</v>
      </c>
      <c r="E5">
        <v>1</v>
      </c>
      <c r="F5">
        <v>0.75352360005490404</v>
      </c>
    </row>
    <row r="6" spans="1:9" x14ac:dyDescent="0.3">
      <c r="A6" t="s">
        <v>18</v>
      </c>
      <c r="B6" t="s">
        <v>19</v>
      </c>
      <c r="C6" t="s">
        <v>20</v>
      </c>
      <c r="D6" t="s">
        <v>20</v>
      </c>
      <c r="E6">
        <v>1</v>
      </c>
      <c r="F6">
        <v>0.90693329996429295</v>
      </c>
    </row>
    <row r="7" spans="1:9" x14ac:dyDescent="0.3">
      <c r="A7" t="s">
        <v>10</v>
      </c>
      <c r="B7" t="s">
        <v>16</v>
      </c>
      <c r="C7" t="s">
        <v>17</v>
      </c>
      <c r="D7" t="s">
        <v>17</v>
      </c>
      <c r="E7">
        <v>1</v>
      </c>
      <c r="F7">
        <v>1.2366974002216</v>
      </c>
      <c r="H7" t="s">
        <v>27</v>
      </c>
      <c r="I7">
        <f>AVERAGE(E3:E6)*100</f>
        <v>100</v>
      </c>
    </row>
    <row r="8" spans="1:9" x14ac:dyDescent="0.3">
      <c r="A8" t="s">
        <v>6</v>
      </c>
      <c r="B8" t="s">
        <v>16</v>
      </c>
      <c r="C8" t="s">
        <v>17</v>
      </c>
      <c r="D8" t="s">
        <v>17</v>
      </c>
      <c r="E8">
        <v>1</v>
      </c>
      <c r="F8">
        <v>0.77799539989791799</v>
      </c>
      <c r="H8" t="s">
        <v>28</v>
      </c>
      <c r="I8">
        <f>AVERAGE(E7:E16)*100</f>
        <v>100</v>
      </c>
    </row>
    <row r="9" spans="1:9" x14ac:dyDescent="0.3">
      <c r="A9" t="s">
        <v>13</v>
      </c>
      <c r="B9" t="s">
        <v>16</v>
      </c>
      <c r="C9" t="s">
        <v>17</v>
      </c>
      <c r="D9" t="s">
        <v>17</v>
      </c>
      <c r="E9">
        <v>1</v>
      </c>
      <c r="F9">
        <v>0.67452599992975504</v>
      </c>
    </row>
    <row r="10" spans="1:9" x14ac:dyDescent="0.3">
      <c r="A10" t="s">
        <v>14</v>
      </c>
      <c r="B10" t="s">
        <v>16</v>
      </c>
      <c r="C10" t="s">
        <v>17</v>
      </c>
      <c r="D10" t="s">
        <v>17</v>
      </c>
      <c r="E10">
        <v>1</v>
      </c>
      <c r="F10">
        <v>0.91876699985004895</v>
      </c>
      <c r="H10" t="s">
        <v>30</v>
      </c>
      <c r="I10">
        <f>SUM(F3:F6)/4</f>
        <v>0.99415495002176479</v>
      </c>
    </row>
    <row r="11" spans="1:9" x14ac:dyDescent="0.3">
      <c r="A11" t="s">
        <v>9</v>
      </c>
      <c r="B11" t="s">
        <v>16</v>
      </c>
      <c r="C11" t="s">
        <v>17</v>
      </c>
      <c r="D11" t="s">
        <v>17</v>
      </c>
      <c r="E11">
        <v>1</v>
      </c>
      <c r="F11">
        <v>1.5420579998753901</v>
      </c>
      <c r="H11" t="s">
        <v>31</v>
      </c>
      <c r="I11">
        <f>SUM(F7:F16)/10</f>
        <v>1.0682311299489788</v>
      </c>
    </row>
    <row r="12" spans="1:9" x14ac:dyDescent="0.3">
      <c r="A12" t="s">
        <v>15</v>
      </c>
      <c r="B12" t="s">
        <v>16</v>
      </c>
      <c r="C12" t="s">
        <v>17</v>
      </c>
      <c r="D12" t="s">
        <v>17</v>
      </c>
      <c r="E12">
        <v>1</v>
      </c>
      <c r="F12">
        <v>0.80044059990905203</v>
      </c>
    </row>
    <row r="13" spans="1:9" x14ac:dyDescent="0.3">
      <c r="A13" t="s">
        <v>7</v>
      </c>
      <c r="B13" t="s">
        <v>16</v>
      </c>
      <c r="C13" t="s">
        <v>17</v>
      </c>
      <c r="D13" t="s">
        <v>17</v>
      </c>
      <c r="E13">
        <v>1</v>
      </c>
      <c r="F13">
        <v>1.9344454999081699</v>
      </c>
    </row>
    <row r="14" spans="1:9" x14ac:dyDescent="0.3">
      <c r="A14" t="s">
        <v>8</v>
      </c>
      <c r="B14" t="s">
        <v>16</v>
      </c>
      <c r="C14" t="s">
        <v>17</v>
      </c>
      <c r="D14" t="s">
        <v>17</v>
      </c>
      <c r="E14">
        <v>1</v>
      </c>
      <c r="F14">
        <v>0.75244809989817396</v>
      </c>
    </row>
    <row r="15" spans="1:9" x14ac:dyDescent="0.3">
      <c r="A15" t="s">
        <v>12</v>
      </c>
      <c r="B15" t="s">
        <v>16</v>
      </c>
      <c r="C15" t="s">
        <v>17</v>
      </c>
      <c r="D15" t="s">
        <v>17</v>
      </c>
      <c r="E15">
        <v>1</v>
      </c>
      <c r="F15">
        <v>0.833736700005829</v>
      </c>
    </row>
    <row r="16" spans="1:9" x14ac:dyDescent="0.3">
      <c r="A16" t="s">
        <v>11</v>
      </c>
      <c r="B16" t="s">
        <v>16</v>
      </c>
      <c r="C16" t="s">
        <v>17</v>
      </c>
      <c r="D16" t="s">
        <v>17</v>
      </c>
      <c r="E16">
        <v>1</v>
      </c>
      <c r="F16">
        <v>1.2111965999938501</v>
      </c>
    </row>
  </sheetData>
  <sortState xmlns:xlrd2="http://schemas.microsoft.com/office/spreadsheetml/2017/richdata2" ref="A3:F16">
    <sortCondition ref="B3:B1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F318-561C-4C14-A69F-4D549B15FD59}">
  <dimension ref="A1:I16"/>
  <sheetViews>
    <sheetView workbookViewId="0">
      <selection activeCell="I11" sqref="I11"/>
    </sheetView>
  </sheetViews>
  <sheetFormatPr defaultRowHeight="14.4" x14ac:dyDescent="0.3"/>
  <cols>
    <col min="1" max="1" width="16.21875" customWidth="1"/>
    <col min="2" max="4" width="17.33203125" customWidth="1"/>
    <col min="5" max="5" width="15.77734375" customWidth="1"/>
    <col min="6" max="6" width="13.77734375" customWidth="1"/>
    <col min="8" max="8" width="12.77734375" customWidth="1"/>
    <col min="9" max="9" width="1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9" x14ac:dyDescent="0.3">
      <c r="A3" t="s">
        <v>18</v>
      </c>
      <c r="B3" t="s">
        <v>19</v>
      </c>
      <c r="C3" t="s">
        <v>20</v>
      </c>
      <c r="D3" t="s">
        <v>20</v>
      </c>
      <c r="E3">
        <v>1</v>
      </c>
      <c r="F3">
        <v>0.82851699995808303</v>
      </c>
      <c r="H3" t="s">
        <v>25</v>
      </c>
      <c r="I3">
        <f>AVERAGE(E3:E16)*100</f>
        <v>78.571428571428569</v>
      </c>
    </row>
    <row r="4" spans="1:9" x14ac:dyDescent="0.3">
      <c r="A4" t="s">
        <v>21</v>
      </c>
      <c r="B4" t="s">
        <v>19</v>
      </c>
      <c r="C4" t="s">
        <v>20</v>
      </c>
      <c r="D4" t="s">
        <v>20</v>
      </c>
      <c r="E4">
        <v>1</v>
      </c>
      <c r="F4">
        <v>0.63247340009547703</v>
      </c>
      <c r="H4" t="s">
        <v>24</v>
      </c>
      <c r="I4">
        <f>GEOMEAN(F3:F16)</f>
        <v>1.1914670425576943</v>
      </c>
    </row>
    <row r="5" spans="1:9" x14ac:dyDescent="0.3">
      <c r="A5" t="s">
        <v>22</v>
      </c>
      <c r="B5" t="s">
        <v>19</v>
      </c>
      <c r="C5" t="s">
        <v>20</v>
      </c>
      <c r="D5" t="s">
        <v>20</v>
      </c>
      <c r="E5">
        <v>1</v>
      </c>
      <c r="F5">
        <v>0.94657730008475405</v>
      </c>
    </row>
    <row r="6" spans="1:9" x14ac:dyDescent="0.3">
      <c r="A6" t="s">
        <v>23</v>
      </c>
      <c r="B6" t="s">
        <v>19</v>
      </c>
      <c r="C6" t="s">
        <v>20</v>
      </c>
      <c r="D6" t="s">
        <v>17</v>
      </c>
      <c r="E6">
        <v>0</v>
      </c>
      <c r="F6">
        <v>2.2893588999286201</v>
      </c>
    </row>
    <row r="7" spans="1:9" x14ac:dyDescent="0.3">
      <c r="A7" t="s">
        <v>7</v>
      </c>
      <c r="B7" t="s">
        <v>16</v>
      </c>
      <c r="C7" t="s">
        <v>17</v>
      </c>
      <c r="D7" t="s">
        <v>17</v>
      </c>
      <c r="E7">
        <v>1</v>
      </c>
      <c r="F7">
        <v>2.6726577000226799</v>
      </c>
      <c r="H7" t="s">
        <v>27</v>
      </c>
      <c r="I7">
        <f>AVERAGE(E3:E6)*100</f>
        <v>75</v>
      </c>
    </row>
    <row r="8" spans="1:9" x14ac:dyDescent="0.3">
      <c r="A8" t="s">
        <v>12</v>
      </c>
      <c r="B8" t="s">
        <v>16</v>
      </c>
      <c r="C8" t="s">
        <v>17</v>
      </c>
      <c r="D8" t="s">
        <v>17</v>
      </c>
      <c r="E8">
        <v>1</v>
      </c>
      <c r="F8">
        <v>0.67389989993534904</v>
      </c>
      <c r="H8" t="s">
        <v>28</v>
      </c>
      <c r="I8">
        <f>AVERAGE(E7:E16)*100</f>
        <v>80</v>
      </c>
    </row>
    <row r="9" spans="1:9" x14ac:dyDescent="0.3">
      <c r="A9" t="s">
        <v>13</v>
      </c>
      <c r="B9" t="s">
        <v>16</v>
      </c>
      <c r="C9" t="s">
        <v>17</v>
      </c>
      <c r="D9" t="s">
        <v>17</v>
      </c>
      <c r="E9">
        <v>1</v>
      </c>
      <c r="F9">
        <v>1.2541881999932201</v>
      </c>
    </row>
    <row r="10" spans="1:9" x14ac:dyDescent="0.3">
      <c r="A10" t="s">
        <v>6</v>
      </c>
      <c r="B10" t="s">
        <v>16</v>
      </c>
      <c r="C10" t="s">
        <v>17</v>
      </c>
      <c r="D10" t="s">
        <v>17</v>
      </c>
      <c r="E10">
        <v>1</v>
      </c>
      <c r="F10">
        <v>0.94333650008775205</v>
      </c>
      <c r="H10" t="s">
        <v>30</v>
      </c>
      <c r="I10">
        <f>SUM(F3:F6)/4</f>
        <v>1.1742316500167336</v>
      </c>
    </row>
    <row r="11" spans="1:9" x14ac:dyDescent="0.3">
      <c r="A11" t="s">
        <v>14</v>
      </c>
      <c r="B11" t="s">
        <v>16</v>
      </c>
      <c r="C11" t="s">
        <v>17</v>
      </c>
      <c r="D11" t="s">
        <v>17</v>
      </c>
      <c r="E11">
        <v>1</v>
      </c>
      <c r="F11">
        <v>1.41302910004742</v>
      </c>
      <c r="H11" t="s">
        <v>31</v>
      </c>
      <c r="I11">
        <f>SUM(F7:F16)/10</f>
        <v>1.384370830003169</v>
      </c>
    </row>
    <row r="12" spans="1:9" x14ac:dyDescent="0.3">
      <c r="A12" t="s">
        <v>8</v>
      </c>
      <c r="B12" t="s">
        <v>16</v>
      </c>
      <c r="C12" t="s">
        <v>17</v>
      </c>
      <c r="D12" t="s">
        <v>17</v>
      </c>
      <c r="E12">
        <v>1</v>
      </c>
      <c r="F12">
        <v>0.73498239996842996</v>
      </c>
    </row>
    <row r="13" spans="1:9" x14ac:dyDescent="0.3">
      <c r="A13" t="s">
        <v>9</v>
      </c>
      <c r="B13" t="s">
        <v>16</v>
      </c>
      <c r="C13" t="s">
        <v>17</v>
      </c>
      <c r="D13" t="s">
        <v>17</v>
      </c>
      <c r="E13">
        <v>1</v>
      </c>
      <c r="F13">
        <v>1.1564990000333599</v>
      </c>
    </row>
    <row r="14" spans="1:9" x14ac:dyDescent="0.3">
      <c r="A14" t="s">
        <v>10</v>
      </c>
      <c r="B14" t="s">
        <v>16</v>
      </c>
      <c r="C14" t="s">
        <v>17</v>
      </c>
      <c r="D14" t="s">
        <v>17</v>
      </c>
      <c r="E14">
        <v>1</v>
      </c>
      <c r="F14">
        <v>1.12968280003406</v>
      </c>
    </row>
    <row r="15" spans="1:9" x14ac:dyDescent="0.3">
      <c r="A15" t="s">
        <v>11</v>
      </c>
      <c r="B15" t="s">
        <v>16</v>
      </c>
      <c r="C15" t="s">
        <v>17</v>
      </c>
      <c r="D15" t="s">
        <v>20</v>
      </c>
      <c r="E15">
        <v>0</v>
      </c>
      <c r="F15">
        <v>2.37627939996309</v>
      </c>
    </row>
    <row r="16" spans="1:9" x14ac:dyDescent="0.3">
      <c r="A16" t="s">
        <v>15</v>
      </c>
      <c r="B16" t="s">
        <v>16</v>
      </c>
      <c r="C16" t="s">
        <v>17</v>
      </c>
      <c r="D16" t="s">
        <v>20</v>
      </c>
      <c r="E16">
        <v>0</v>
      </c>
      <c r="F16">
        <v>1.4891532999463299</v>
      </c>
    </row>
  </sheetData>
  <sortState xmlns:xlrd2="http://schemas.microsoft.com/office/spreadsheetml/2017/richdata2" ref="A3:F16">
    <sortCondition ref="B3:B16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7C312-5FEC-4456-99CE-4741B78EEF3D}">
  <dimension ref="A1:E15"/>
  <sheetViews>
    <sheetView workbookViewId="0">
      <selection activeCell="O14" sqref="O14"/>
    </sheetView>
  </sheetViews>
  <sheetFormatPr defaultRowHeight="14.4" x14ac:dyDescent="0.3"/>
  <cols>
    <col min="1" max="1" width="12.21875" customWidth="1"/>
    <col min="2" max="2" width="18.109375" customWidth="1"/>
    <col min="3" max="3" width="17.33203125" customWidth="1"/>
    <col min="4" max="4" width="16.44140625" customWidth="1"/>
    <col min="5" max="5" width="16.5546875" customWidth="1"/>
  </cols>
  <sheetData>
    <row r="1" spans="1:5" x14ac:dyDescent="0.3">
      <c r="A1" t="s">
        <v>26</v>
      </c>
      <c r="B1" t="s">
        <v>27</v>
      </c>
      <c r="C1" t="s">
        <v>28</v>
      </c>
      <c r="D1" t="s">
        <v>32</v>
      </c>
      <c r="E1" t="s">
        <v>31</v>
      </c>
    </row>
    <row r="3" spans="1:5" x14ac:dyDescent="0.3">
      <c r="A3">
        <v>1</v>
      </c>
      <c r="B3">
        <v>100</v>
      </c>
      <c r="C3">
        <v>80</v>
      </c>
      <c r="D3">
        <v>0.79780767497140848</v>
      </c>
      <c r="E3">
        <v>1.2884363599587185</v>
      </c>
    </row>
    <row r="4" spans="1:5" x14ac:dyDescent="0.3">
      <c r="A4">
        <v>2</v>
      </c>
      <c r="B4">
        <v>75</v>
      </c>
      <c r="C4">
        <v>80</v>
      </c>
      <c r="D4">
        <v>2.4670398749876723</v>
      </c>
      <c r="E4">
        <v>1.4295049099717261</v>
      </c>
    </row>
    <row r="5" spans="1:5" x14ac:dyDescent="0.3">
      <c r="A5">
        <v>3</v>
      </c>
      <c r="B5">
        <v>100</v>
      </c>
      <c r="C5">
        <v>90</v>
      </c>
      <c r="D5">
        <v>0.9885814999579432</v>
      </c>
      <c r="E5">
        <v>1.5572959399782078</v>
      </c>
    </row>
    <row r="6" spans="1:5" x14ac:dyDescent="0.3">
      <c r="A6">
        <v>4</v>
      </c>
      <c r="B6">
        <v>100</v>
      </c>
      <c r="C6">
        <v>90</v>
      </c>
      <c r="D6">
        <v>1.0889334750245321</v>
      </c>
      <c r="E6">
        <v>1.373369950009506</v>
      </c>
    </row>
    <row r="7" spans="1:5" x14ac:dyDescent="0.3">
      <c r="A7">
        <v>5</v>
      </c>
      <c r="B7">
        <v>100</v>
      </c>
      <c r="C7">
        <v>100</v>
      </c>
      <c r="D7">
        <v>0.99415495002176479</v>
      </c>
      <c r="E7">
        <v>1.0682311299489788</v>
      </c>
    </row>
    <row r="8" spans="1:5" x14ac:dyDescent="0.3">
      <c r="A8">
        <v>6</v>
      </c>
      <c r="B8">
        <v>75</v>
      </c>
      <c r="C8">
        <v>80</v>
      </c>
      <c r="D8">
        <v>1.1742316500167336</v>
      </c>
      <c r="E8">
        <v>1.384370830003169</v>
      </c>
    </row>
    <row r="13" spans="1:5" x14ac:dyDescent="0.3">
      <c r="B13" t="s">
        <v>33</v>
      </c>
      <c r="C13">
        <f>_xlfn.T.TEST(B3:B8,C3:C8,2,1)</f>
        <v>0.27521973197398408</v>
      </c>
    </row>
    <row r="15" spans="1:5" x14ac:dyDescent="0.3">
      <c r="B15" t="s">
        <v>34</v>
      </c>
      <c r="C15">
        <f>_xlfn.T.TEST(D3:D8,E3:E8,2,1)</f>
        <v>0.69752815621985598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E3B6-23BD-4A6D-9E4D-45BB3857C663}">
  <dimension ref="A1:E22"/>
  <sheetViews>
    <sheetView tabSelected="1" workbookViewId="0">
      <selection activeCell="K22" sqref="K22"/>
    </sheetView>
  </sheetViews>
  <sheetFormatPr defaultRowHeight="14.4" x14ac:dyDescent="0.3"/>
  <cols>
    <col min="1" max="1" width="11.33203125" customWidth="1"/>
    <col min="2" max="2" width="15.44140625" customWidth="1"/>
    <col min="3" max="3" width="16.77734375" customWidth="1"/>
    <col min="5" max="5" width="10" customWidth="1"/>
    <col min="6" max="6" width="16.44140625" customWidth="1"/>
  </cols>
  <sheetData>
    <row r="1" spans="1:2" x14ac:dyDescent="0.3">
      <c r="A1" t="s">
        <v>26</v>
      </c>
      <c r="B1" t="s">
        <v>25</v>
      </c>
    </row>
    <row r="3" spans="1:2" x14ac:dyDescent="0.3">
      <c r="A3">
        <v>1</v>
      </c>
      <c r="B3">
        <v>85.714285714285708</v>
      </c>
    </row>
    <row r="4" spans="1:2" x14ac:dyDescent="0.3">
      <c r="A4">
        <v>2</v>
      </c>
      <c r="B4">
        <v>85.714285714285708</v>
      </c>
    </row>
    <row r="5" spans="1:2" x14ac:dyDescent="0.3">
      <c r="A5">
        <v>3</v>
      </c>
      <c r="B5">
        <v>92.857142857142861</v>
      </c>
    </row>
    <row r="6" spans="1:2" x14ac:dyDescent="0.3">
      <c r="A6">
        <v>4</v>
      </c>
      <c r="B6">
        <v>92.857142857142861</v>
      </c>
    </row>
    <row r="7" spans="1:2" x14ac:dyDescent="0.3">
      <c r="A7">
        <v>5</v>
      </c>
      <c r="B7">
        <v>100</v>
      </c>
    </row>
    <row r="8" spans="1:2" x14ac:dyDescent="0.3">
      <c r="A8">
        <v>6</v>
      </c>
      <c r="B8">
        <v>78.571428571428569</v>
      </c>
    </row>
    <row r="12" spans="1:2" x14ac:dyDescent="0.3">
      <c r="A12" t="s">
        <v>26</v>
      </c>
      <c r="B12" t="s">
        <v>29</v>
      </c>
    </row>
    <row r="14" spans="1:2" x14ac:dyDescent="0.3">
      <c r="A14">
        <v>1</v>
      </c>
      <c r="B14">
        <v>1.0715541647738687</v>
      </c>
    </row>
    <row r="15" spans="1:2" x14ac:dyDescent="0.3">
      <c r="A15">
        <v>2</v>
      </c>
      <c r="B15">
        <v>1.508020205852765</v>
      </c>
    </row>
    <row r="16" spans="1:2" x14ac:dyDescent="0.3">
      <c r="A16">
        <v>3</v>
      </c>
      <c r="B16">
        <v>1.2701690924024187</v>
      </c>
    </row>
    <row r="17" spans="1:5" x14ac:dyDescent="0.3">
      <c r="A17">
        <v>4</v>
      </c>
      <c r="B17">
        <v>1.150909824580552</v>
      </c>
    </row>
    <row r="18" spans="1:5" x14ac:dyDescent="0.3">
      <c r="A18">
        <v>5</v>
      </c>
      <c r="B18">
        <v>0.99547953781458087</v>
      </c>
    </row>
    <row r="19" spans="1:5" x14ac:dyDescent="0.3">
      <c r="A19">
        <v>6</v>
      </c>
      <c r="B19">
        <v>1.1914670425576943</v>
      </c>
    </row>
    <row r="22" spans="1:5" x14ac:dyDescent="0.3">
      <c r="E22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Participant 1</vt:lpstr>
      <vt:lpstr>Participant 2</vt:lpstr>
      <vt:lpstr>Particpant 3</vt:lpstr>
      <vt:lpstr>Participant 4</vt:lpstr>
      <vt:lpstr>Participant 5</vt:lpstr>
      <vt:lpstr>Participant 6</vt:lpstr>
      <vt:lpstr>T-Test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krishi</dc:creator>
  <cp:lastModifiedBy>Krishi Bhojani</cp:lastModifiedBy>
  <dcterms:created xsi:type="dcterms:W3CDTF">2015-06-05T18:17:20Z</dcterms:created>
  <dcterms:modified xsi:type="dcterms:W3CDTF">2025-11-19T22:54:03Z</dcterms:modified>
</cp:coreProperties>
</file>